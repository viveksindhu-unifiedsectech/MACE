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ization" sheetId="1" state="visible" r:id="rId1"/>
    <sheet xmlns:r="http://schemas.openxmlformats.org/officeDocument/2006/relationships" name="Pro-Forma Phase 1" sheetId="2" state="visible" r:id="rId2"/>
    <sheet xmlns:r="http://schemas.openxmlformats.org/officeDocument/2006/relationships"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sz val="15"/>
    </font>
    <font>
      <color rgb="00444444"/>
      <sz val="11"/>
    </font>
    <font>
      <i val="1"/>
      <color rgb="00555555"/>
      <sz val="9"/>
    </font>
    <font>
      <b val="1"/>
      <color rgb="00FFFFFF"/>
      <sz val="10"/>
    </font>
    <font>
      <b val="1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7F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4" borderId="1" pivotButton="0" quotePrefix="0" xfId="0"/>
    <xf numFmtId="0" fontId="4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22" customWidth="1" min="4" max="4"/>
    <col width="18" customWidth="1" min="5" max="5"/>
    <col width="16" customWidth="1" min="6" max="6"/>
    <col width="18" customWidth="1" min="7" max="7"/>
    <col width="14" customWidth="1" min="8" max="8"/>
  </cols>
  <sheetData>
    <row r="2">
      <c r="B2" s="1" t="inlineStr">
        <is>
          <t>UnifiedSec Technologies Inc.</t>
        </is>
      </c>
    </row>
    <row r="3">
      <c r="B3" s="2" t="inlineStr">
        <is>
          <t>Capitalization Table — as of June 2026</t>
        </is>
      </c>
    </row>
    <row r="4">
      <c r="B4" s="3" t="inlineStr">
        <is>
          <t>Delaware C-Corporation (formation in progress) · Authorized: 15,000,000 shares of Common Stock, $0.0001 par value</t>
        </is>
      </c>
    </row>
    <row r="6">
      <c r="B6" s="4" t="inlineStr">
        <is>
          <t>Securityholder</t>
        </is>
      </c>
      <c r="C6" s="4" t="inlineStr">
        <is>
          <t>Security Class</t>
        </is>
      </c>
      <c r="D6" s="4" t="inlineStr">
        <is>
          <t>Shares Issued &amp; Outstanding</t>
        </is>
      </c>
      <c r="E6" s="4" t="inlineStr">
        <is>
          <t>% Issued &amp; Outstanding</t>
        </is>
      </c>
      <c r="F6" s="4" t="inlineStr">
        <is>
          <t>Options/Reserved</t>
        </is>
      </c>
      <c r="G6" s="4" t="inlineStr">
        <is>
          <t>Fully Diluted Shares</t>
        </is>
      </c>
      <c r="H6" s="4" t="inlineStr">
        <is>
          <t>% Fully Diluted</t>
        </is>
      </c>
    </row>
    <row r="7">
      <c r="B7" s="5" t="inlineStr">
        <is>
          <t>Vivek Sindhu (Founder, CEO)</t>
        </is>
      </c>
      <c r="C7" s="5" t="inlineStr">
        <is>
          <t>Common Stock</t>
        </is>
      </c>
      <c r="D7" s="6" t="n">
        <v>10000000</v>
      </c>
      <c r="E7" s="7">
        <f>D7/$D$9</f>
        <v/>
      </c>
      <c r="F7" s="6" t="n">
        <v>0</v>
      </c>
      <c r="G7" s="6">
        <f>D7+F7</f>
        <v/>
      </c>
      <c r="H7" s="7">
        <f>G7/$G$9</f>
        <v/>
      </c>
    </row>
    <row r="8">
      <c r="B8" s="8" t="inlineStr">
        <is>
          <t>2026 Equity Incentive Plan (ESOP) — reserved, unissued</t>
        </is>
      </c>
      <c r="C8" s="8" t="inlineStr">
        <is>
          <t>Options Pool</t>
        </is>
      </c>
      <c r="D8" s="9" t="n">
        <v>0</v>
      </c>
      <c r="E8" s="10">
        <f>D8/$D$9</f>
        <v/>
      </c>
      <c r="F8" s="9" t="n">
        <v>1764706</v>
      </c>
      <c r="G8" s="9">
        <f>D8+F8</f>
        <v/>
      </c>
      <c r="H8" s="10">
        <f>G8/$G$9</f>
        <v/>
      </c>
    </row>
    <row r="9">
      <c r="B9" s="11" t="inlineStr">
        <is>
          <t>TOTAL</t>
        </is>
      </c>
      <c r="C9" s="8" t="n"/>
      <c r="D9" s="12">
        <f>SUM(D7:D8)</f>
        <v/>
      </c>
      <c r="E9" s="13">
        <f>SUM(E7:E8)</f>
        <v/>
      </c>
      <c r="F9" s="12">
        <f>SUM(F7:F8)</f>
        <v/>
      </c>
      <c r="G9" s="12">
        <f>SUM(G7:G8)</f>
        <v/>
      </c>
      <c r="H9" s="13">
        <f>SUM(H7:H8)</f>
        <v/>
      </c>
    </row>
    <row r="11">
      <c r="B11" s="14" t="inlineStr">
        <is>
          <t>Notes:</t>
        </is>
      </c>
    </row>
    <row r="12">
      <c r="B12" s="3" t="inlineStr">
        <is>
          <t>1. Founder shares subject to 4-year vesting, 1-year cliff, effective at incorporation; full acceleration terms per standard double-trigger provisions.</t>
        </is>
      </c>
    </row>
    <row r="13">
      <c r="B13" s="3" t="inlineStr">
        <is>
          <t>2. ESOP reserved at 15% of fully diluted capitalization (1,764,706 shares), to be adopted at incorporation, prior to any financing.</t>
        </is>
      </c>
    </row>
    <row r="14">
      <c r="B14" s="3" t="inlineStr">
        <is>
          <t>3. No SAFEs, convertible notes, warrants, debt, or side agreements outstanding. No prior financings.</t>
        </is>
      </c>
    </row>
    <row r="15">
      <c r="B15" s="3" t="inlineStr">
        <is>
          <t>4. All intellectual property assigned to the company by the founder under a Confidential Information and Invention Assignment Agreement at incorporation.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2" customWidth="1" min="4" max="4"/>
  </cols>
  <sheetData>
    <row r="2">
      <c r="B2" s="15" t="inlineStr">
        <is>
          <t>Pro-Forma Capitalization — Post Phase 1 ($750,000 SAFE)</t>
        </is>
      </c>
    </row>
    <row r="3">
      <c r="B3" s="3" t="inlineStr">
        <is>
          <t>ILLUSTRATIVE — assumptions below are editable inputs; ownership computes automatically. Terms subject to negotiation.</t>
        </is>
      </c>
    </row>
    <row r="5">
      <c r="B5" s="14" t="inlineStr">
        <is>
          <t>Assumptions (edit the gold cells)</t>
        </is>
      </c>
    </row>
    <row r="6">
      <c r="B6" s="8" t="inlineStr">
        <is>
          <t>Phase 1 investment (SAFE)</t>
        </is>
      </c>
      <c r="C6" s="16" t="n">
        <v>750000</v>
      </c>
    </row>
    <row r="7">
      <c r="B7" s="8" t="inlineStr">
        <is>
          <t>Post-money valuation cap</t>
        </is>
      </c>
      <c r="C7" s="16" t="n">
        <v>8000000</v>
      </c>
    </row>
    <row r="8">
      <c r="B8" s="8" t="inlineStr">
        <is>
          <t>Implied SAFE ownership (post-money)</t>
        </is>
      </c>
      <c r="C8" s="13">
        <f>C6/C7</f>
        <v/>
      </c>
    </row>
    <row r="10">
      <c r="B10" s="17" t="inlineStr">
        <is>
          <t>Securityholder</t>
        </is>
      </c>
      <c r="C10" s="17" t="inlineStr">
        <is>
          <t>Pre-Phase-1 FD %</t>
        </is>
      </c>
      <c r="D10" s="17" t="inlineStr">
        <is>
          <t>Post-Phase-1 FD %</t>
        </is>
      </c>
    </row>
    <row r="11">
      <c r="B11" s="8" t="inlineStr">
        <is>
          <t>Vivek Sindhu (Founder)</t>
        </is>
      </c>
      <c r="C11" s="10" t="n">
        <v>0.85</v>
      </c>
      <c r="D11" s="10">
        <f>C11*(1-$C$8)</f>
        <v/>
      </c>
    </row>
    <row r="12">
      <c r="B12" s="8" t="inlineStr">
        <is>
          <t>ESOP (reserved)</t>
        </is>
      </c>
      <c r="C12" s="10" t="n">
        <v>0.15</v>
      </c>
      <c r="D12" s="10">
        <f>C12*(1-$C$8)</f>
        <v/>
      </c>
    </row>
    <row r="13">
      <c r="B13" s="8" t="inlineStr">
        <is>
          <t>Phase 1 SAFE investor(s)</t>
        </is>
      </c>
      <c r="C13" s="10" t="n">
        <v>0</v>
      </c>
      <c r="D13" s="10">
        <f>$C$8</f>
        <v/>
      </c>
    </row>
    <row r="14">
      <c r="B14" s="11" t="inlineStr">
        <is>
          <t>TOTAL</t>
        </is>
      </c>
      <c r="C14" s="13">
        <f>SUM(C11:C13)</f>
        <v/>
      </c>
      <c r="D14" s="13">
        <f>SUM(D11:D13)</f>
        <v/>
      </c>
    </row>
    <row r="16">
      <c r="B16" s="3" t="inlineStr">
        <is>
          <t>SAFE modeled on Y Combinator post-money standard; converts to preferred at the Phase 2 priced round. Dilution shown pro-rata across existing holders.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90" customWidth="1" min="3" max="3"/>
  </cols>
  <sheetData>
    <row r="2">
      <c r="B2" s="15" t="inlineStr">
        <is>
          <t>Definitions &amp; Methodology</t>
        </is>
      </c>
    </row>
    <row r="4">
      <c r="B4" s="14" t="inlineStr">
        <is>
          <t>Issued &amp; Outstanding</t>
        </is>
      </c>
      <c r="C4" s="18" t="inlineStr">
        <is>
          <t>Shares legally issued to holders. Excludes reserved-but-unissued option pool.</t>
        </is>
      </c>
    </row>
    <row r="6">
      <c r="B6" s="14" t="inlineStr">
        <is>
          <t>Fully Diluted</t>
        </is>
      </c>
      <c r="C6" s="18" t="inlineStr">
        <is>
          <t>Issued shares plus all reserved options, calculated as if every option were exercised. The denominator investors care about.</t>
        </is>
      </c>
    </row>
    <row r="8">
      <c r="B8" s="14" t="inlineStr">
        <is>
          <t>ESOP / Option Pool</t>
        </is>
      </c>
      <c r="C8" s="18" t="inlineStr">
        <is>
          <t>Shares reserved under the 2026 Equity Incentive Plan for employees and advisors. Created pre-financing so the pool dilutes the founder, not incoming investors.</t>
        </is>
      </c>
    </row>
    <row r="10">
      <c r="B10" s="14" t="inlineStr">
        <is>
          <t>SAFE (post-money)</t>
        </is>
      </c>
      <c r="C10" s="18" t="inlineStr">
        <is>
          <t>Simple Agreement for Future Equity; investor ownership = investment ÷ post-money valuation cap, fixed at signing.</t>
        </is>
      </c>
    </row>
    <row r="12">
      <c r="B12" s="14" t="inlineStr">
        <is>
          <t>Vesting</t>
        </is>
      </c>
      <c r="C12" s="18" t="inlineStr">
        <is>
          <t>Founder shares earn over 4 years with a 1-year cliff — standard protection demonstrating long-term commitment.</t>
        </is>
      </c>
    </row>
    <row r="15">
      <c r="B15" s="3" t="inlineStr">
        <is>
          <t>Prepared June 2026 · UnifiedSec Technologies Inc. · Contact: vivek.sindhu@unifiedsectech.com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2026-06-10T19:49:22Z</dcterms:created>
  <dcterms:modified xmlns:dcterms="http://purl.org/dc/terms/" xmlns:xsi="http://www.w3.org/2001/XMLSchema-instance" xsi:type="dcterms:W3CDTF">2026-06-10T19:49:22Z</dcterms:modified>
</cp:coreProperties>
</file>